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dministración y Ventas\RECURSOS HUMANOS\NOMINA COLSIN\SOI\2026\Requerimiento Colsubsidio mayo 2026\"/>
    </mc:Choice>
  </mc:AlternateContent>
  <xr:revisionPtr revIDLastSave="0" documentId="13_ncr:1_{CCAA63A1-B700-4883-A601-5824A8671EDE}" xr6:coauthVersionLast="36" xr6:coauthVersionMax="36" xr10:uidLastSave="{00000000-0000-0000-0000-000000000000}"/>
  <bookViews>
    <workbookView xWindow="0" yWindow="0" windowWidth="23040" windowHeight="9444" xr2:uid="{45FE209C-8E7D-4875-9103-E435FEE1E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4" i="1"/>
  <c r="O3" i="1"/>
  <c r="M3" i="1"/>
  <c r="M5" i="1"/>
  <c r="L5" i="1"/>
  <c r="K5" i="1"/>
  <c r="M4" i="1"/>
  <c r="L4" i="1"/>
  <c r="K4" i="1"/>
  <c r="L3" i="1"/>
  <c r="K3" i="1"/>
  <c r="F13" i="1"/>
  <c r="H13" i="1"/>
  <c r="G13" i="1"/>
  <c r="D13" i="1"/>
  <c r="C13" i="1"/>
  <c r="B13" i="1"/>
</calcChain>
</file>

<file path=xl/sharedStrings.xml><?xml version="1.0" encoding="utf-8"?>
<sst xmlns="http://schemas.openxmlformats.org/spreadsheetml/2006/main" count="26" uniqueCount="18">
  <si>
    <t>john Fuquen</t>
  </si>
  <si>
    <t>Edwin Malaver</t>
  </si>
  <si>
    <t>Edwin Casteblanco</t>
  </si>
  <si>
    <t xml:space="preserve">Liquidaciones </t>
  </si>
  <si>
    <t>BASIC</t>
  </si>
  <si>
    <t>CESAN</t>
  </si>
  <si>
    <t>INTCE</t>
  </si>
  <si>
    <t>PRISD</t>
  </si>
  <si>
    <t>SUBTR</t>
  </si>
  <si>
    <t>VACD</t>
  </si>
  <si>
    <t>EGMEM</t>
  </si>
  <si>
    <t>IVMEM</t>
  </si>
  <si>
    <t>PREST</t>
  </si>
  <si>
    <t>Reliq Agosto</t>
  </si>
  <si>
    <t>IBC CAJA ANT</t>
  </si>
  <si>
    <t>IBC CAJA ACORRECCION</t>
  </si>
  <si>
    <t>Diferencia</t>
  </si>
  <si>
    <t>falto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</si>
</sst>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&quot;$&quot;\ * #,##0_-;\-&quot;$&quot;\ * #,##0_-;_-&quot;$&quot;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F971-22B7-4741-94AA-CD3E18E46037}">
  <dimension ref="A1:P27"/>
  <sheetViews>
    <sheetView tabSelected="1" workbookViewId="0">
      <selection activeCell="F13" sqref="F13"/>
    </sheetView>
  </sheetViews>
  <sheetFormatPr baseColWidth="10" defaultRowHeight="14.4" x14ac:dyDescent="0.3"/>
  <cols>
    <col min="1" max="1" width="13.21875" bestFit="1" customWidth="1"/>
    <col min="2" max="2" width="11.77734375" bestFit="1" customWidth="1"/>
    <col min="3" max="3" width="13.5546875" bestFit="1" customWidth="1"/>
    <col min="4" max="4" width="17.21875" bestFit="1" customWidth="1"/>
    <col min="6" max="6" width="11.77734375" bestFit="1" customWidth="1"/>
    <col min="7" max="7" width="13.5546875" bestFit="1" customWidth="1"/>
    <col min="8" max="8" width="17.21875" bestFit="1" customWidth="1"/>
    <col min="9" max="9" width="17.21875" customWidth="1"/>
    <col min="10" max="10" width="21.6640625" bestFit="1" customWidth="1"/>
    <col min="11" max="11" width="11.77734375" bestFit="1" customWidth="1"/>
    <col min="12" max="12" width="13.5546875" bestFit="1" customWidth="1"/>
    <col min="13" max="13" width="17.21875" bestFit="1" customWidth="1"/>
  </cols>
  <sheetData>
    <row r="1" spans="1:16" x14ac:dyDescent="0.3">
      <c r="A1" t="s">
        <v>3</v>
      </c>
      <c r="B1" s="1">
        <v>45078</v>
      </c>
      <c r="C1" s="1">
        <v>45108</v>
      </c>
      <c r="D1" s="1">
        <v>45139</v>
      </c>
      <c r="F1" t="s">
        <v>13</v>
      </c>
      <c r="G1" t="s">
        <v>13</v>
      </c>
      <c r="H1" t="s">
        <v>13</v>
      </c>
    </row>
    <row r="2" spans="1:16" x14ac:dyDescent="0.3">
      <c r="B2" t="s">
        <v>0</v>
      </c>
      <c r="C2" t="s">
        <v>1</v>
      </c>
      <c r="D2" t="s">
        <v>2</v>
      </c>
      <c r="F2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</row>
    <row r="3" spans="1:16" x14ac:dyDescent="0.3">
      <c r="A3" t="s">
        <v>4</v>
      </c>
      <c r="B3" s="2">
        <v>618667</v>
      </c>
      <c r="C3" s="2">
        <v>38667</v>
      </c>
      <c r="D3" s="2">
        <v>1160000</v>
      </c>
      <c r="F3" s="2">
        <v>618667</v>
      </c>
      <c r="G3" s="2">
        <v>38667</v>
      </c>
      <c r="H3" s="2">
        <v>1160000</v>
      </c>
      <c r="I3" s="2"/>
      <c r="J3" t="s">
        <v>14</v>
      </c>
      <c r="K3" s="2">
        <f>B3+B8</f>
        <v>865167</v>
      </c>
      <c r="L3" s="2">
        <f>C3+C8</f>
        <v>261000</v>
      </c>
      <c r="M3" s="2">
        <f>D3+D8</f>
        <v>1306611</v>
      </c>
      <c r="O3">
        <f>(K3+L3+M3)*4%</f>
        <v>97311.12</v>
      </c>
    </row>
    <row r="4" spans="1:16" x14ac:dyDescent="0.3">
      <c r="A4" t="s">
        <v>5</v>
      </c>
      <c r="B4" s="2">
        <v>552758</v>
      </c>
      <c r="C4" s="2">
        <v>498566</v>
      </c>
      <c r="D4" s="2">
        <v>328764</v>
      </c>
      <c r="F4" s="2">
        <v>622539</v>
      </c>
      <c r="G4" s="2">
        <v>568347</v>
      </c>
      <c r="H4" s="2">
        <v>373876</v>
      </c>
      <c r="I4" s="2"/>
      <c r="J4" s="3" t="s">
        <v>15</v>
      </c>
      <c r="K4" s="4">
        <f>F3+F8</f>
        <v>900058</v>
      </c>
      <c r="L4" s="4">
        <f>G3+G8</f>
        <v>295891</v>
      </c>
      <c r="M4" s="4">
        <f>H3+H8</f>
        <v>1329167</v>
      </c>
      <c r="O4">
        <f>(K4+L4+M4)*4%</f>
        <v>101004.64</v>
      </c>
    </row>
    <row r="5" spans="1:16" x14ac:dyDescent="0.3">
      <c r="A5" t="s">
        <v>6</v>
      </c>
      <c r="B5" s="2">
        <v>28191</v>
      </c>
      <c r="C5" s="2">
        <v>22934</v>
      </c>
      <c r="D5" s="2">
        <v>9962</v>
      </c>
      <c r="F5" s="2">
        <v>31749</v>
      </c>
      <c r="G5" s="2">
        <v>26144</v>
      </c>
      <c r="H5" s="2">
        <v>11328</v>
      </c>
      <c r="I5" s="2"/>
      <c r="J5" t="s">
        <v>16</v>
      </c>
      <c r="K5" s="2">
        <f>K4-K3</f>
        <v>34891</v>
      </c>
      <c r="L5" s="2">
        <f t="shared" ref="L5:M5" si="0">L4-L3</f>
        <v>34891</v>
      </c>
      <c r="M5" s="2">
        <f t="shared" si="0"/>
        <v>22556</v>
      </c>
      <c r="O5" s="3">
        <f>O4-O3</f>
        <v>3693.5200000000041</v>
      </c>
      <c r="P5" t="s">
        <v>17</v>
      </c>
    </row>
    <row r="6" spans="1:16" x14ac:dyDescent="0.3">
      <c r="A6" t="s">
        <v>7</v>
      </c>
      <c r="B6" s="2">
        <v>552758</v>
      </c>
      <c r="C6" s="2">
        <v>498566</v>
      </c>
      <c r="D6" s="2">
        <v>328764</v>
      </c>
      <c r="F6" s="2">
        <v>622539</v>
      </c>
      <c r="G6" s="2">
        <v>568347</v>
      </c>
      <c r="H6" s="2">
        <v>373876</v>
      </c>
      <c r="I6" s="2"/>
    </row>
    <row r="7" spans="1:16" x14ac:dyDescent="0.3">
      <c r="A7" t="s">
        <v>8</v>
      </c>
      <c r="B7" s="2">
        <v>74990</v>
      </c>
      <c r="C7" s="2">
        <v>4687</v>
      </c>
      <c r="D7" s="2">
        <v>140606</v>
      </c>
      <c r="F7" s="2">
        <v>74990</v>
      </c>
      <c r="G7" s="2">
        <v>4687</v>
      </c>
      <c r="H7" s="2">
        <v>140606</v>
      </c>
      <c r="I7" s="2"/>
    </row>
    <row r="8" spans="1:16" x14ac:dyDescent="0.3">
      <c r="A8" t="s">
        <v>9</v>
      </c>
      <c r="B8" s="2">
        <v>246500</v>
      </c>
      <c r="C8" s="2">
        <v>222333</v>
      </c>
      <c r="D8" s="2">
        <v>146611</v>
      </c>
      <c r="F8" s="2">
        <v>281391</v>
      </c>
      <c r="G8" s="2">
        <v>257224</v>
      </c>
      <c r="H8" s="2">
        <v>169167</v>
      </c>
      <c r="I8" s="2"/>
    </row>
    <row r="9" spans="1:16" x14ac:dyDescent="0.3">
      <c r="A9" t="s">
        <v>10</v>
      </c>
      <c r="B9" s="2">
        <v>-24747</v>
      </c>
      <c r="C9" s="2">
        <v>-1547</v>
      </c>
      <c r="D9" s="2">
        <v>-46400</v>
      </c>
      <c r="F9" s="2">
        <v>-24747</v>
      </c>
      <c r="G9" s="2">
        <v>-1547</v>
      </c>
      <c r="H9" s="2">
        <v>-46400</v>
      </c>
      <c r="I9" s="2"/>
    </row>
    <row r="10" spans="1:16" x14ac:dyDescent="0.3">
      <c r="A10" t="s">
        <v>11</v>
      </c>
      <c r="B10" s="2">
        <v>-24747</v>
      </c>
      <c r="C10" s="2">
        <v>-1547</v>
      </c>
      <c r="D10" s="2">
        <v>-46400</v>
      </c>
      <c r="F10" s="2">
        <v>-24747</v>
      </c>
      <c r="G10" s="2">
        <v>-1547</v>
      </c>
      <c r="H10" s="2">
        <v>-46400</v>
      </c>
      <c r="I10" s="2"/>
    </row>
    <row r="11" spans="1:16" x14ac:dyDescent="0.3">
      <c r="A11" t="s">
        <v>12</v>
      </c>
      <c r="B11" s="2"/>
      <c r="C11" s="2">
        <v>-280000</v>
      </c>
      <c r="D11" s="2"/>
      <c r="G11" s="2">
        <v>-280000</v>
      </c>
    </row>
    <row r="12" spans="1:16" x14ac:dyDescent="0.3">
      <c r="B12" s="2"/>
      <c r="C12" s="2"/>
      <c r="D12" s="2"/>
    </row>
    <row r="13" spans="1:16" x14ac:dyDescent="0.3">
      <c r="B13" s="2">
        <f>SUM(B3:B12)</f>
        <v>2024370</v>
      </c>
      <c r="C13" s="2">
        <f>SUM(C3:C12)</f>
        <v>1002659</v>
      </c>
      <c r="D13" s="2">
        <f>SUM(D3:D12)</f>
        <v>2021907</v>
      </c>
      <c r="F13" s="2">
        <f>SUM(F3:F12)</f>
        <v>2202381</v>
      </c>
      <c r="G13" s="2">
        <f>SUM(G3:G12)</f>
        <v>1180322</v>
      </c>
      <c r="H13" s="2">
        <f>SUM(H3:H12)</f>
        <v>2136053</v>
      </c>
      <c r="I13" s="2"/>
    </row>
    <row r="14" spans="1:16" x14ac:dyDescent="0.3">
      <c r="B14" s="2"/>
      <c r="C14" s="2"/>
      <c r="D14" s="2"/>
    </row>
    <row r="15" spans="1:16" x14ac:dyDescent="0.3">
      <c r="B15" s="2"/>
      <c r="C15" s="2"/>
      <c r="D15" s="2"/>
    </row>
    <row r="16" spans="1:16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22" spans="2:4" x14ac:dyDescent="0.3">
      <c r="B22" s="2"/>
      <c r="C22" s="2"/>
      <c r="D22" s="2"/>
    </row>
    <row r="23" spans="2:4" x14ac:dyDescent="0.3">
      <c r="B23" s="2"/>
      <c r="C23" s="2"/>
      <c r="D23" s="2"/>
    </row>
    <row r="24" spans="2:4" x14ac:dyDescent="0.3">
      <c r="B24" s="2"/>
      <c r="C24" s="2"/>
      <c r="D24" s="2"/>
    </row>
    <row r="25" spans="2:4" x14ac:dyDescent="0.3">
      <c r="B25" s="2"/>
      <c r="C25" s="2"/>
      <c r="D25" s="2"/>
    </row>
    <row r="26" spans="2:4" x14ac:dyDescent="0.3">
      <c r="B26" s="2"/>
      <c r="C26" s="2"/>
      <c r="D26" s="2"/>
    </row>
    <row r="27" spans="2:4" x14ac:dyDescent="0.3">
      <c r="B27" s="2"/>
      <c r="C27" s="2"/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Ariza</dc:creator>
  <cp:lastModifiedBy>Johan Ariza</cp:lastModifiedBy>
  <dcterms:created xsi:type="dcterms:W3CDTF">2026-05-07T15:46:04Z</dcterms:created>
  <dcterms:modified xsi:type="dcterms:W3CDTF">2026-05-07T16:19:04Z</dcterms:modified>
</cp:coreProperties>
</file>